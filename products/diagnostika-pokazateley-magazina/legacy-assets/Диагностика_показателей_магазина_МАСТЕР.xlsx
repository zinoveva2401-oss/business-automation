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C:\Users\user\Desktop\Claude Бизнес\Продукты\диагностика показателей магазина\"/>
    </mc:Choice>
  </mc:AlternateContent>
  <xr:revisionPtr revIDLastSave="0" documentId="8_{E1892E2B-0404-43DC-8936-EEE4D41A8275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Диагностика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11" i="1" l="1"/>
  <c r="K11" i="1"/>
  <c r="M11" i="1" s="1"/>
  <c r="E11" i="1"/>
  <c r="D11" i="1"/>
  <c r="L10" i="1"/>
  <c r="K10" i="1"/>
  <c r="M10" i="1" s="1"/>
  <c r="E10" i="1"/>
  <c r="D10" i="1"/>
  <c r="L9" i="1"/>
  <c r="K9" i="1"/>
  <c r="E9" i="1"/>
  <c r="D9" i="1"/>
  <c r="L8" i="1"/>
  <c r="K8" i="1"/>
  <c r="M8" i="1" s="1"/>
  <c r="E8" i="1"/>
  <c r="D8" i="1"/>
  <c r="L7" i="1"/>
  <c r="K7" i="1"/>
  <c r="M7" i="1" s="1"/>
  <c r="E7" i="1"/>
  <c r="D7" i="1"/>
  <c r="K12" i="1" s="1"/>
  <c r="L6" i="1"/>
  <c r="K6" i="1"/>
  <c r="M6" i="1" s="1"/>
  <c r="C6" i="1"/>
  <c r="B6" i="1"/>
  <c r="L5" i="1"/>
  <c r="K5" i="1"/>
  <c r="L4" i="1"/>
  <c r="K4" i="1"/>
  <c r="M4" i="1" s="1"/>
  <c r="L3" i="1"/>
  <c r="K3" i="1"/>
  <c r="M3" i="1" s="1"/>
  <c r="M9" i="1" l="1"/>
  <c r="K13" i="1"/>
  <c r="N18" i="1" s="1"/>
  <c r="N19" i="1" s="1"/>
  <c r="B18" i="1" s="1"/>
  <c r="M5" i="1"/>
  <c r="B16" i="1"/>
  <c r="B15" i="1"/>
  <c r="B14" i="1"/>
  <c r="B17" i="1" l="1"/>
  <c r="N14" i="1"/>
  <c r="N15" i="1"/>
  <c r="N16" i="1"/>
  <c r="N17" i="1"/>
</calcChain>
</file>

<file path=xl/sharedStrings.xml><?xml version="1.0" encoding="utf-8"?>
<sst xmlns="http://schemas.openxmlformats.org/spreadsheetml/2006/main" count="44" uniqueCount="42">
  <si>
    <t>Диагностика показателей магазина</t>
  </si>
  <si>
    <t>ТЕХНИЧЕСКИЙ БЛОК</t>
  </si>
  <si>
    <t>Период 1</t>
  </si>
  <si>
    <t>Период 2</t>
  </si>
  <si>
    <t>Изменение</t>
  </si>
  <si>
    <t>Служебный результат</t>
  </si>
  <si>
    <t>Метод "4 причины изменения среднего чека"</t>
  </si>
  <si>
    <t>Порог существенности</t>
  </si>
  <si>
    <t>Средний чек</t>
  </si>
  <si>
    <t>Режим работы</t>
  </si>
  <si>
    <t>Текущее состояние</t>
  </si>
  <si>
    <t>Товаров в чеке</t>
  </si>
  <si>
    <t>Средняя цена товара</t>
  </si>
  <si>
    <t>Показатель</t>
  </si>
  <si>
    <t>Проверка периода 1</t>
  </si>
  <si>
    <t>Проверка периода 2</t>
  </si>
  <si>
    <t>Конверсия</t>
  </si>
  <si>
    <t>Выручка после возвратов, ₽</t>
  </si>
  <si>
    <t>Ориентировочная валовая прибыль</t>
  </si>
  <si>
    <t>Количество чеков</t>
  </si>
  <si>
    <t>Трафик</t>
  </si>
  <si>
    <t>Количество проданных товаров</t>
  </si>
  <si>
    <t>Количество посетителей</t>
  </si>
  <si>
    <t>Выручка</t>
  </si>
  <si>
    <t>Средняя торговая наценка, %</t>
  </si>
  <si>
    <t>Средняя наценка</t>
  </si>
  <si>
    <t>Корректность периода 1</t>
  </si>
  <si>
    <t>УПРАВЛЕНЧЕСКОЕ ЗАКЛЮЧЕНИЕ</t>
  </si>
  <si>
    <t>Корректность сравнения</t>
  </si>
  <si>
    <t>Результат</t>
  </si>
  <si>
    <t>Статус трафика</t>
  </si>
  <si>
    <t>Главная слабая зона</t>
  </si>
  <si>
    <t>Статус конверсии</t>
  </si>
  <si>
    <t>Факт</t>
  </si>
  <si>
    <t>Статус среднего чека</t>
  </si>
  <si>
    <t>Это означает</t>
  </si>
  <si>
    <t>Статус прибыльности</t>
  </si>
  <si>
    <t>Дополнительный риск</t>
  </si>
  <si>
    <t>Главная зона</t>
  </si>
  <si>
    <t>Ограничение</t>
  </si>
  <si>
    <t>Заключение основано только на введённых показателях. Оно не подтверждает причину без проверки ассортимента, цен, наличия, трафика и условий работы магазина.</t>
  </si>
  <si>
    <t>Служебная строка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</si>
</sst>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[$₽-419]"/>
    <numFmt numFmtId="165" formatCode="#,##0\ &quot;₽&quot;"/>
    <numFmt numFmtId="166" formatCode="0.0&quot;%&quot;"/>
  </numFmts>
  <fonts count="23">
    <font>
      <sz val="11"/>
      <name val="Carlito"/>
    </font>
    <font>
      <b/>
      <sz val="18"/>
      <color rgb="FFFFFFFF"/>
      <name val="Carlito"/>
    </font>
    <font>
      <sz val="11"/>
      <color rgb="FF262626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0"/>
      <color rgb="FF262626"/>
      <name val="Aptos"/>
    </font>
    <font>
      <sz val="10"/>
      <color rgb="FF262626"/>
      <name val="Aptos"/>
    </font>
    <font>
      <b/>
      <sz val="24"/>
      <color rgb="FFFFF9F2"/>
      <name val="Cambria"/>
    </font>
    <font>
      <sz val="11"/>
      <color rgb="FFD8DDE3"/>
      <name val="Aptos"/>
    </font>
    <font>
      <b/>
      <sz val="11"/>
      <color rgb="FF59616A"/>
      <name val="Aptos"/>
    </font>
    <font>
      <b/>
      <sz val="14"/>
      <color rgb="FFFFFFFF"/>
      <name val="Aptos"/>
    </font>
    <font>
      <b/>
      <sz val="10"/>
      <color rgb="FF173B67"/>
      <name val="Aptos"/>
    </font>
    <font>
      <b/>
      <sz val="12"/>
      <color rgb="FF173B67"/>
      <name val="Aptos"/>
    </font>
    <font>
      <sz val="9"/>
      <color rgb="FF68717A"/>
      <name val="Aptos"/>
    </font>
    <font>
      <b/>
      <sz val="13"/>
      <color rgb="FFFFF9F2"/>
      <name val="Aptos"/>
    </font>
    <font>
      <b/>
      <sz val="9"/>
      <color rgb="FF626B74"/>
      <name val="Aptos"/>
    </font>
    <font>
      <b/>
      <sz val="18"/>
      <color rgb="FF8E443A"/>
      <name val="Aptos"/>
    </font>
    <font>
      <b/>
      <sz val="17"/>
      <color rgb="FF173B67"/>
      <name val="Aptos Display"/>
    </font>
    <font>
      <sz val="11"/>
      <color rgb="FF262626"/>
      <name val="Aptos"/>
    </font>
    <font>
      <b/>
      <sz val="10"/>
      <color rgb="FF805E2E"/>
      <name val="Aptos"/>
    </font>
    <font>
      <b/>
      <sz val="9"/>
      <color rgb="FFD8DDE3"/>
      <name val="Aptos"/>
    </font>
    <font>
      <b/>
      <sz val="10"/>
      <color rgb="FFFFF9F2"/>
      <name val="Aptos"/>
    </font>
    <font>
      <sz val="11"/>
      <name val="Carlito"/>
    </font>
  </fonts>
  <fills count="14">
    <fill>
      <patternFill patternType="none"/>
    </fill>
    <fill>
      <patternFill patternType="gray125"/>
    </fill>
    <fill>
      <patternFill patternType="solid">
        <fgColor rgb="FF17130F"/>
      </patternFill>
    </fill>
    <fill>
      <patternFill patternType="solid">
        <fgColor rgb="FFF4F5F6"/>
      </patternFill>
    </fill>
    <fill>
      <patternFill patternType="solid">
        <fgColor rgb="FF173B67"/>
      </patternFill>
    </fill>
    <fill>
      <patternFill patternType="solid">
        <fgColor rgb="FFFFFFFF"/>
      </patternFill>
    </fill>
    <fill>
      <patternFill patternType="solid">
        <fgColor rgb="FFF4F5F6"/>
      </patternFill>
    </fill>
    <fill>
      <patternFill patternType="solid">
        <fgColor rgb="FF17130F"/>
      </patternFill>
    </fill>
    <fill>
      <patternFill patternType="solid">
        <fgColor rgb="FF173B67"/>
      </patternFill>
    </fill>
    <fill>
      <patternFill patternType="solid">
        <fgColor rgb="FFEEF1F4"/>
      </patternFill>
    </fill>
    <fill>
      <patternFill patternType="solid">
        <fgColor rgb="FFFFFFFF"/>
      </patternFill>
    </fill>
    <fill>
      <patternFill patternType="solid">
        <fgColor rgb="FFF7F8F9"/>
      </patternFill>
    </fill>
    <fill>
      <patternFill patternType="solid">
        <fgColor rgb="FFF0E1DE"/>
      </patternFill>
    </fill>
    <fill>
      <patternFill patternType="solid">
        <fgColor rgb="FFF7F0E4"/>
      </patternFill>
    </fill>
  </fills>
  <borders count="24">
    <border>
      <left/>
      <right/>
      <top/>
      <bottom/>
      <diagonal/>
    </border>
    <border>
      <left style="thin">
        <color rgb="FFD8DDE3"/>
      </left>
      <right/>
      <top style="thin">
        <color rgb="FFD8DDE3"/>
      </top>
      <bottom/>
      <diagonal/>
    </border>
    <border>
      <left/>
      <right/>
      <top style="thin">
        <color rgb="FFD8DDE3"/>
      </top>
      <bottom/>
      <diagonal/>
    </border>
    <border>
      <left/>
      <right style="thin">
        <color rgb="FFD8DDE3"/>
      </right>
      <top style="thin">
        <color rgb="FFD8DDE3"/>
      </top>
      <bottom/>
      <diagonal/>
    </border>
    <border>
      <left style="thin">
        <color rgb="FFD8DDE3"/>
      </left>
      <right/>
      <top/>
      <bottom/>
      <diagonal/>
    </border>
    <border>
      <left/>
      <right style="thin">
        <color rgb="FFD8DDE3"/>
      </right>
      <top/>
      <bottom/>
      <diagonal/>
    </border>
    <border>
      <left style="thin">
        <color rgb="FFD8DDE3"/>
      </left>
      <right/>
      <top/>
      <bottom style="thin">
        <color rgb="FFD8DDE3"/>
      </bottom>
      <diagonal/>
    </border>
    <border>
      <left/>
      <right/>
      <top/>
      <bottom style="thin">
        <color rgb="FFD8DDE3"/>
      </bottom>
      <diagonal/>
    </border>
    <border>
      <left/>
      <right style="thin">
        <color rgb="FFD8DDE3"/>
      </right>
      <top/>
      <bottom style="thin">
        <color rgb="FFD8DDE3"/>
      </bottom>
      <diagonal/>
    </border>
    <border>
      <left style="medium">
        <color rgb="FF173B67"/>
      </left>
      <right/>
      <top style="medium">
        <color rgb="FF173B67"/>
      </top>
      <bottom style="medium">
        <color rgb="FF173B67"/>
      </bottom>
      <diagonal/>
    </border>
    <border>
      <left/>
      <right/>
      <top style="medium">
        <color rgb="FF173B67"/>
      </top>
      <bottom style="medium">
        <color rgb="FF173B67"/>
      </bottom>
      <diagonal/>
    </border>
    <border>
      <left/>
      <right style="medium">
        <color rgb="FF173B67"/>
      </right>
      <top style="medium">
        <color rgb="FF173B67"/>
      </top>
      <bottom style="medium">
        <color rgb="FF173B67"/>
      </bottom>
      <diagonal/>
    </border>
    <border>
      <left style="thin">
        <color rgb="FFD8DDE3"/>
      </left>
      <right/>
      <top/>
      <bottom style="medium">
        <color rgb="FFD9562F"/>
      </bottom>
      <diagonal/>
    </border>
    <border>
      <left/>
      <right/>
      <top/>
      <bottom style="medium">
        <color rgb="FFD9562F"/>
      </bottom>
      <diagonal/>
    </border>
    <border>
      <left style="medium">
        <color rgb="FFD9562F"/>
      </left>
      <right/>
      <top/>
      <bottom/>
      <diagonal/>
    </border>
    <border>
      <left style="medium">
        <color rgb="FFD9562F"/>
      </left>
      <right/>
      <top/>
      <bottom style="thin">
        <color rgb="FFE7EAED"/>
      </bottom>
      <diagonal/>
    </border>
    <border>
      <left style="thin">
        <color rgb="FFCBD3DB"/>
      </left>
      <right style="thin">
        <color rgb="FFCBD3DB"/>
      </right>
      <top style="thin">
        <color rgb="FFCBD3DB"/>
      </top>
      <bottom style="thin">
        <color rgb="FFCBD3DB"/>
      </bottom>
      <diagonal/>
    </border>
    <border>
      <left/>
      <right/>
      <top/>
      <bottom style="thin">
        <color rgb="FFE7EAED"/>
      </bottom>
      <diagonal/>
    </border>
    <border>
      <left style="medium">
        <color rgb="FFB45A4B"/>
      </left>
      <right/>
      <top/>
      <bottom/>
      <diagonal/>
    </border>
    <border>
      <left style="medium">
        <color rgb="FF2F80ED"/>
      </left>
      <right/>
      <top/>
      <bottom style="thin">
        <color rgb="FFD8DDE3"/>
      </bottom>
      <diagonal/>
    </border>
    <border>
      <left style="medium">
        <color rgb="FF2F80ED"/>
      </left>
      <right/>
      <top/>
      <bottom/>
      <diagonal/>
    </border>
    <border>
      <left style="medium">
        <color rgb="FF2F80ED"/>
      </left>
      <right/>
      <top/>
      <bottom style="thin">
        <color rgb="FFE2E6EA"/>
      </bottom>
      <diagonal/>
    </border>
    <border>
      <left/>
      <right/>
      <top/>
      <bottom style="thin">
        <color rgb="FFE2E6EA"/>
      </bottom>
      <diagonal/>
    </border>
    <border>
      <left style="medium">
        <color rgb="FFD38B3A"/>
      </left>
      <right/>
      <top/>
      <bottom/>
      <diagonal/>
    </border>
  </borders>
  <cellStyleXfs count="2">
    <xf numFmtId="0" fontId="0" fillId="0" borderId="0"/>
    <xf numFmtId="0" fontId="22" fillId="0" borderId="0"/>
  </cellStyleXfs>
  <cellXfs count="70">
    <xf numFmtId="0" fontId="0" fillId="0" borderId="0" xfId="0"/>
    <xf numFmtId="0" fontId="2" fillId="3" borderId="0" xfId="1" applyFont="1" applyFill="1" applyAlignment="1">
      <alignment horizontal="left" wrapText="1"/>
    </xf>
    <xf numFmtId="0" fontId="0" fillId="0" borderId="0" xfId="1" applyFont="1" applyAlignment="1">
      <alignment wrapText="1"/>
    </xf>
    <xf numFmtId="0" fontId="0" fillId="0" borderId="5" xfId="1" applyFont="1" applyBorder="1" applyAlignment="1">
      <alignment wrapText="1"/>
    </xf>
    <xf numFmtId="0" fontId="1" fillId="2" borderId="2" xfId="1" applyFont="1" applyFill="1" applyBorder="1" applyAlignment="1">
      <alignment horizontal="center" vertical="center" wrapText="1"/>
    </xf>
    <xf numFmtId="0" fontId="0" fillId="0" borderId="2" xfId="1" applyFont="1" applyBorder="1" applyAlignment="1">
      <alignment wrapText="1"/>
    </xf>
    <xf numFmtId="0" fontId="0" fillId="0" borderId="3" xfId="1" applyFont="1" applyBorder="1" applyAlignment="1">
      <alignment wrapText="1"/>
    </xf>
    <xf numFmtId="0" fontId="3" fillId="4" borderId="0" xfId="1" applyFont="1" applyFill="1" applyAlignment="1">
      <alignment horizontal="center" vertical="center" wrapText="1"/>
    </xf>
    <xf numFmtId="0" fontId="3" fillId="4" borderId="0" xfId="1" applyFont="1" applyFill="1" applyAlignment="1">
      <alignment wrapText="1"/>
    </xf>
    <xf numFmtId="0" fontId="3" fillId="4" borderId="5" xfId="1" applyFont="1" applyFill="1" applyBorder="1" applyAlignment="1">
      <alignment wrapText="1"/>
    </xf>
    <xf numFmtId="0" fontId="0" fillId="3" borderId="0" xfId="1" applyFont="1" applyFill="1" applyAlignment="1">
      <alignment wrapText="1"/>
    </xf>
    <xf numFmtId="0" fontId="4" fillId="2" borderId="0" xfId="1" applyFont="1" applyFill="1" applyAlignment="1">
      <alignment horizontal="center" wrapText="1"/>
    </xf>
    <xf numFmtId="0" fontId="3" fillId="4" borderId="4" xfId="1" applyFont="1" applyFill="1" applyBorder="1" applyAlignment="1">
      <alignment vertical="center" wrapText="1"/>
    </xf>
    <xf numFmtId="0" fontId="3" fillId="4" borderId="6" xfId="1" applyFont="1" applyFill="1" applyBorder="1" applyAlignment="1">
      <alignment vertical="center" wrapText="1"/>
    </xf>
    <xf numFmtId="0" fontId="0" fillId="0" borderId="7" xfId="1" applyFont="1" applyBorder="1" applyAlignment="1">
      <alignment wrapText="1"/>
    </xf>
    <xf numFmtId="0" fontId="0" fillId="0" borderId="8" xfId="1" applyFont="1" applyBorder="1" applyAlignment="1">
      <alignment wrapText="1"/>
    </xf>
    <xf numFmtId="0" fontId="6" fillId="6" borderId="4" xfId="1" applyFont="1" applyFill="1" applyBorder="1" applyAlignment="1">
      <alignment vertical="center" wrapText="1"/>
    </xf>
    <xf numFmtId="0" fontId="6" fillId="6" borderId="0" xfId="1" applyFont="1" applyFill="1" applyAlignment="1">
      <alignment vertical="center" wrapText="1"/>
    </xf>
    <xf numFmtId="0" fontId="5" fillId="6" borderId="0" xfId="1" applyFont="1" applyFill="1" applyAlignment="1">
      <alignment vertical="center" wrapText="1"/>
    </xf>
    <xf numFmtId="4" fontId="6" fillId="6" borderId="0" xfId="1" applyNumberFormat="1" applyFont="1" applyFill="1" applyAlignment="1">
      <alignment vertical="center" wrapText="1"/>
    </xf>
    <xf numFmtId="10" fontId="6" fillId="6" borderId="0" xfId="1" applyNumberFormat="1" applyFont="1" applyFill="1" applyAlignment="1">
      <alignment vertical="center" wrapText="1"/>
    </xf>
    <xf numFmtId="164" fontId="6" fillId="6" borderId="0" xfId="1" applyNumberFormat="1" applyFont="1" applyFill="1" applyAlignment="1">
      <alignment vertical="center" wrapText="1"/>
    </xf>
    <xf numFmtId="0" fontId="9" fillId="6" borderId="4" xfId="1" applyFont="1" applyFill="1" applyBorder="1" applyAlignment="1">
      <alignment horizontal="left" vertical="center" wrapText="1"/>
    </xf>
    <xf numFmtId="164" fontId="11" fillId="9" borderId="13" xfId="1" applyNumberFormat="1" applyFont="1" applyFill="1" applyBorder="1" applyAlignment="1">
      <alignment horizontal="center" vertical="center" wrapText="1"/>
    </xf>
    <xf numFmtId="4" fontId="11" fillId="9" borderId="13" xfId="1" applyNumberFormat="1" applyFont="1" applyFill="1" applyBorder="1" applyAlignment="1">
      <alignment horizontal="center" vertical="center" wrapText="1"/>
    </xf>
    <xf numFmtId="10" fontId="11" fillId="9" borderId="13" xfId="1" applyNumberFormat="1" applyFont="1" applyFill="1" applyBorder="1" applyAlignment="1">
      <alignment horizontal="center" vertical="center" wrapText="1"/>
    </xf>
    <xf numFmtId="0" fontId="11" fillId="9" borderId="12" xfId="1" applyFont="1" applyFill="1" applyBorder="1" applyAlignment="1">
      <alignment horizontal="left" vertical="center" wrapText="1"/>
    </xf>
    <xf numFmtId="0" fontId="5" fillId="10" borderId="14" xfId="1" applyFont="1" applyFill="1" applyBorder="1" applyAlignment="1">
      <alignment horizontal="left" vertical="center" wrapText="1"/>
    </xf>
    <xf numFmtId="0" fontId="5" fillId="10" borderId="15" xfId="1" applyFont="1" applyFill="1" applyBorder="1" applyAlignment="1">
      <alignment horizontal="left" vertical="center" wrapText="1"/>
    </xf>
    <xf numFmtId="4" fontId="13" fillId="11" borderId="0" xfId="1" applyNumberFormat="1" applyFont="1" applyFill="1" applyAlignment="1">
      <alignment horizontal="center" vertical="center" wrapText="1"/>
    </xf>
    <xf numFmtId="10" fontId="13" fillId="11" borderId="0" xfId="1" applyNumberFormat="1" applyFont="1" applyFill="1" applyAlignment="1">
      <alignment horizontal="center" vertical="center" wrapText="1"/>
    </xf>
    <xf numFmtId="4" fontId="13" fillId="11" borderId="17" xfId="1" applyNumberFormat="1" applyFont="1" applyFill="1" applyBorder="1" applyAlignment="1">
      <alignment horizontal="center" vertical="center" wrapText="1"/>
    </xf>
    <xf numFmtId="10" fontId="13" fillId="11" borderId="17" xfId="1" applyNumberFormat="1" applyFont="1" applyFill="1" applyBorder="1" applyAlignment="1">
      <alignment horizontal="center" vertical="center" wrapText="1"/>
    </xf>
    <xf numFmtId="0" fontId="15" fillId="9" borderId="4" xfId="1" applyFont="1" applyFill="1" applyBorder="1" applyAlignment="1">
      <alignment horizontal="left" vertical="top" wrapText="1"/>
    </xf>
    <xf numFmtId="0" fontId="15" fillId="9" borderId="6" xfId="1" applyFont="1" applyFill="1" applyBorder="1" applyAlignment="1">
      <alignment horizontal="left" vertical="top" wrapText="1"/>
    </xf>
    <xf numFmtId="0" fontId="20" fillId="7" borderId="4" xfId="1" applyFont="1" applyFill="1" applyBorder="1" applyAlignment="1">
      <alignment horizontal="left" vertical="top" wrapText="1"/>
    </xf>
    <xf numFmtId="165" fontId="12" fillId="10" borderId="16" xfId="1" applyNumberFormat="1" applyFont="1" applyFill="1" applyBorder="1" applyAlignment="1" applyProtection="1">
      <alignment horizontal="right" vertical="center" wrapText="1"/>
      <protection locked="0"/>
    </xf>
    <xf numFmtId="3" fontId="12" fillId="10" borderId="16" xfId="1" applyNumberFormat="1" applyFont="1" applyFill="1" applyBorder="1" applyAlignment="1" applyProtection="1">
      <alignment horizontal="right" vertical="center" wrapText="1"/>
      <protection locked="0"/>
    </xf>
    <xf numFmtId="166" fontId="12" fillId="10" borderId="16" xfId="1" applyNumberFormat="1" applyFont="1" applyFill="1" applyBorder="1" applyAlignment="1" applyProtection="1">
      <alignment horizontal="right" vertical="center" wrapText="1"/>
      <protection locked="0"/>
    </xf>
    <xf numFmtId="0" fontId="2" fillId="5" borderId="0" xfId="1" applyFont="1" applyFill="1" applyAlignment="1">
      <alignment vertical="center" wrapText="1"/>
    </xf>
    <xf numFmtId="0" fontId="2" fillId="5" borderId="7" xfId="1" applyFont="1" applyFill="1" applyBorder="1" applyAlignment="1">
      <alignment vertical="center" wrapText="1"/>
    </xf>
    <xf numFmtId="0" fontId="7" fillId="7" borderId="1" xfId="1" applyFont="1" applyFill="1" applyBorder="1" applyAlignment="1">
      <alignment horizontal="left" vertical="center" wrapText="1"/>
    </xf>
    <xf numFmtId="0" fontId="7" fillId="7" borderId="2" xfId="1" applyFont="1" applyFill="1" applyBorder="1" applyAlignment="1">
      <alignment horizontal="left" vertical="center" wrapText="1"/>
    </xf>
    <xf numFmtId="0" fontId="8" fillId="7" borderId="4" xfId="1" applyFont="1" applyFill="1" applyBorder="1" applyAlignment="1">
      <alignment horizontal="left" vertical="center" wrapText="1"/>
    </xf>
    <xf numFmtId="0" fontId="8" fillId="7" borderId="0" xfId="1" applyFont="1" applyFill="1" applyAlignment="1">
      <alignment horizontal="left" vertical="center" wrapText="1"/>
    </xf>
    <xf numFmtId="0" fontId="10" fillId="8" borderId="9" xfId="1" applyFont="1" applyFill="1" applyBorder="1" applyAlignment="1" applyProtection="1">
      <alignment horizontal="center" vertical="center" wrapText="1"/>
      <protection locked="0"/>
    </xf>
    <xf numFmtId="0" fontId="10" fillId="8" borderId="10" xfId="1" applyFont="1" applyFill="1" applyBorder="1" applyAlignment="1">
      <alignment horizontal="center" vertical="center" wrapText="1"/>
    </xf>
    <xf numFmtId="0" fontId="10" fillId="8" borderId="11" xfId="1" applyFont="1" applyFill="1" applyBorder="1" applyAlignment="1">
      <alignment horizontal="center" vertical="center" wrapText="1"/>
    </xf>
    <xf numFmtId="0" fontId="14" fillId="7" borderId="12" xfId="1" applyFont="1" applyFill="1" applyBorder="1" applyAlignment="1">
      <alignment horizontal="left" vertical="center" wrapText="1"/>
    </xf>
    <xf numFmtId="2" fontId="14" fillId="7" borderId="13" xfId="1" applyNumberFormat="1" applyFont="1" applyFill="1" applyBorder="1" applyAlignment="1">
      <alignment horizontal="left" vertical="center" wrapText="1"/>
    </xf>
    <xf numFmtId="4" fontId="14" fillId="7" borderId="13" xfId="1" applyNumberFormat="1" applyFont="1" applyFill="1" applyBorder="1" applyAlignment="1">
      <alignment horizontal="left" vertical="center" wrapText="1"/>
    </xf>
    <xf numFmtId="10" fontId="14" fillId="7" borderId="13" xfId="1" applyNumberFormat="1" applyFont="1" applyFill="1" applyBorder="1" applyAlignment="1">
      <alignment horizontal="left" vertical="center" wrapText="1"/>
    </xf>
    <xf numFmtId="164" fontId="16" fillId="12" borderId="18" xfId="1" applyNumberFormat="1" applyFont="1" applyFill="1" applyBorder="1" applyAlignment="1">
      <alignment horizontal="left" vertical="center" wrapText="1"/>
    </xf>
    <xf numFmtId="164" fontId="16" fillId="12" borderId="0" xfId="1" applyNumberFormat="1" applyFont="1" applyFill="1" applyAlignment="1">
      <alignment horizontal="left" vertical="center" wrapText="1"/>
    </xf>
    <xf numFmtId="4" fontId="16" fillId="12" borderId="0" xfId="1" applyNumberFormat="1" applyFont="1" applyFill="1" applyAlignment="1">
      <alignment horizontal="left" vertical="center" wrapText="1"/>
    </xf>
    <xf numFmtId="10" fontId="16" fillId="12" borderId="0" xfId="1" applyNumberFormat="1" applyFont="1" applyFill="1" applyAlignment="1">
      <alignment horizontal="left" vertical="center" wrapText="1"/>
    </xf>
    <xf numFmtId="10" fontId="17" fillId="10" borderId="19" xfId="1" applyNumberFormat="1" applyFont="1" applyFill="1" applyBorder="1" applyAlignment="1">
      <alignment horizontal="left" vertical="center" wrapText="1"/>
    </xf>
    <xf numFmtId="10" fontId="17" fillId="10" borderId="7" xfId="1" applyNumberFormat="1" applyFont="1" applyFill="1" applyBorder="1" applyAlignment="1">
      <alignment horizontal="left" vertical="center" wrapText="1"/>
    </xf>
    <xf numFmtId="4" fontId="17" fillId="10" borderId="7" xfId="1" applyNumberFormat="1" applyFont="1" applyFill="1" applyBorder="1" applyAlignment="1">
      <alignment horizontal="left" vertical="center" wrapText="1"/>
    </xf>
    <xf numFmtId="164" fontId="18" fillId="10" borderId="20" xfId="1" applyNumberFormat="1" applyFont="1" applyFill="1" applyBorder="1" applyAlignment="1">
      <alignment horizontal="left" vertical="top" wrapText="1"/>
    </xf>
    <xf numFmtId="164" fontId="18" fillId="10" borderId="0" xfId="1" applyNumberFormat="1" applyFont="1" applyFill="1" applyAlignment="1">
      <alignment horizontal="left" vertical="top" wrapText="1"/>
    </xf>
    <xf numFmtId="4" fontId="18" fillId="10" borderId="0" xfId="1" applyNumberFormat="1" applyFont="1" applyFill="1" applyAlignment="1">
      <alignment horizontal="left" vertical="top" wrapText="1"/>
    </xf>
    <xf numFmtId="10" fontId="18" fillId="10" borderId="0" xfId="1" applyNumberFormat="1" applyFont="1" applyFill="1" applyAlignment="1">
      <alignment horizontal="left" vertical="top" wrapText="1"/>
    </xf>
    <xf numFmtId="164" fontId="18" fillId="10" borderId="21" xfId="1" applyNumberFormat="1" applyFont="1" applyFill="1" applyBorder="1" applyAlignment="1">
      <alignment horizontal="left" vertical="top" wrapText="1"/>
    </xf>
    <xf numFmtId="164" fontId="18" fillId="10" borderId="22" xfId="1" applyNumberFormat="1" applyFont="1" applyFill="1" applyBorder="1" applyAlignment="1">
      <alignment horizontal="left" vertical="top" wrapText="1"/>
    </xf>
    <xf numFmtId="4" fontId="18" fillId="10" borderId="22" xfId="1" applyNumberFormat="1" applyFont="1" applyFill="1" applyBorder="1" applyAlignment="1">
      <alignment horizontal="left" vertical="top" wrapText="1"/>
    </xf>
    <xf numFmtId="10" fontId="18" fillId="10" borderId="22" xfId="1" applyNumberFormat="1" applyFont="1" applyFill="1" applyBorder="1" applyAlignment="1">
      <alignment horizontal="left" vertical="top" wrapText="1"/>
    </xf>
    <xf numFmtId="0" fontId="19" fillId="13" borderId="23" xfId="1" applyFont="1" applyFill="1" applyBorder="1" applyAlignment="1">
      <alignment horizontal="left" vertical="center" wrapText="1"/>
    </xf>
    <xf numFmtId="0" fontId="19" fillId="13" borderId="0" xfId="1" applyFont="1" applyFill="1" applyAlignment="1">
      <alignment horizontal="left" vertical="center" wrapText="1"/>
    </xf>
    <xf numFmtId="0" fontId="21" fillId="7" borderId="0" xfId="1" applyFont="1" applyFill="1" applyAlignment="1">
      <alignment horizontal="left" vertical="top" wrapText="1"/>
    </xf>
  </cellXfs>
  <cellStyles count="2">
    <cellStyle name="Normal" xfId="1" xr:uid="{00000000-0005-0000-0000-000000000000}"/>
    <cellStyle name="Обычный" xfId="0" builtinId="0"/>
  </cellStyles>
  <dxfs count="14">
    <dxf>
      <font>
        <b/>
        <color rgb="FF755E3F"/>
      </font>
      <fill>
        <patternFill patternType="solid">
          <bgColor rgb="FFF1ECE4"/>
        </patternFill>
      </fill>
      <border>
        <left style="medium">
          <color rgb="FFB08A55"/>
        </left>
      </border>
    </dxf>
    <dxf>
      <font>
        <b/>
        <color rgb="FF173B67"/>
      </font>
      <fill>
        <patternFill patternType="solid">
          <bgColor rgb="FFE7EEF7"/>
        </patternFill>
      </fill>
      <border>
        <left style="medium">
          <color rgb="FF2F80ED"/>
        </left>
      </border>
    </dxf>
    <dxf>
      <font>
        <color rgb="FF8A929A"/>
      </font>
      <fill>
        <patternFill patternType="solid">
          <bgColor rgb="FFECEFF2"/>
        </patternFill>
      </fill>
    </dxf>
    <dxf>
      <font>
        <b/>
        <color rgb="FFA65346"/>
      </font>
      <fill>
        <patternFill patternType="solid">
          <bgColor rgb="FFF4E3E0"/>
        </patternFill>
      </fill>
    </dxf>
    <dxf>
      <font>
        <b/>
        <color rgb="FFA65346"/>
      </font>
      <fill>
        <patternFill patternType="solid">
          <bgColor rgb="FFF4E3E0"/>
        </patternFill>
      </fill>
    </dxf>
    <dxf>
      <font>
        <b/>
        <color rgb="FFA65346"/>
      </font>
      <fill>
        <patternFill patternType="solid">
          <bgColor rgb="FFF4E3E0"/>
        </patternFill>
      </fill>
    </dxf>
    <dxf>
      <font>
        <b/>
        <color rgb="FFA65346"/>
      </font>
      <fill>
        <patternFill patternType="solid">
          <bgColor rgb="FFF4E3E0"/>
        </patternFill>
      </fill>
    </dxf>
    <dxf>
      <font>
        <color rgb="FF7A838C"/>
      </font>
      <fill>
        <patternFill patternType="solid">
          <bgColor rgb="FFECEFF2"/>
        </patternFill>
      </fill>
    </dxf>
    <dxf>
      <font>
        <color rgb="FF8A6B34"/>
      </font>
      <fill>
        <patternFill patternType="solid">
          <bgColor rgb="FFF7F0E4"/>
        </patternFill>
      </fill>
    </dxf>
    <dxf>
      <font>
        <b/>
        <color rgb="FF3F7259"/>
      </font>
      <fill>
        <patternFill patternType="solid">
          <bgColor rgb="FFE6F0EA"/>
        </patternFill>
      </fill>
    </dxf>
    <dxf>
      <font>
        <b/>
        <color rgb="FFD9562F"/>
      </font>
    </dxf>
    <dxf>
      <font>
        <b/>
        <color rgb="FF2F80ED"/>
      </font>
    </dxf>
    <dxf>
      <fill>
        <patternFill>
          <bgColor rgb="FFFCE8E6"/>
        </patternFill>
      </fill>
    </dxf>
    <dxf>
      <fill>
        <patternFill>
          <bgColor rgb="FFE7F4E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showGridLines="0" showRowColHeaders="0" tabSelected="1" zoomScaleNormal="100" workbookViewId="0">
      <selection sqref="A1:E1"/>
    </sheetView>
  </sheetViews>
  <sheetFormatPr defaultRowHeight="13.8"/>
  <cols>
    <col min="1" max="1" width="36" customWidth="1"/>
    <col min="2" max="3" width="21" customWidth="1"/>
    <col min="4" max="5" width="22" customWidth="1"/>
    <col min="6" max="6" width="34" hidden="1" customWidth="1"/>
    <col min="7" max="7" width="3" hidden="1" customWidth="1"/>
    <col min="8" max="8" width="26" hidden="1" customWidth="1"/>
    <col min="9" max="9" width="25" hidden="1" customWidth="1"/>
    <col min="10" max="14" width="0.19921875" hidden="1" customWidth="1"/>
  </cols>
  <sheetData>
    <row r="1" spans="1:14" ht="37.950000000000003" customHeight="1">
      <c r="A1" s="41" t="s">
        <v>0</v>
      </c>
      <c r="B1" s="42"/>
      <c r="C1" s="42"/>
      <c r="D1" s="42"/>
      <c r="E1" s="42"/>
      <c r="F1" s="4"/>
      <c r="G1" s="5"/>
      <c r="H1" s="5"/>
      <c r="I1" s="6"/>
      <c r="J1" t="s">
        <v>1</v>
      </c>
      <c r="K1" t="s">
        <v>2</v>
      </c>
      <c r="L1" t="s">
        <v>3</v>
      </c>
      <c r="M1" t="s">
        <v>4</v>
      </c>
      <c r="N1" t="s">
        <v>5</v>
      </c>
    </row>
    <row r="2" spans="1:14" ht="24" customHeight="1">
      <c r="A2" s="43" t="s">
        <v>6</v>
      </c>
      <c r="B2" s="44"/>
      <c r="C2" s="44"/>
      <c r="D2" s="44"/>
      <c r="E2" s="44"/>
      <c r="F2" s="1"/>
      <c r="G2" s="2"/>
      <c r="H2" s="2"/>
      <c r="I2" s="3"/>
      <c r="J2" t="s">
        <v>7</v>
      </c>
      <c r="K2">
        <v>0.05</v>
      </c>
    </row>
    <row r="3" spans="1:14" ht="10.050000000000001" customHeight="1">
      <c r="A3" s="16"/>
      <c r="B3" s="17"/>
      <c r="C3" s="17"/>
      <c r="D3" s="17"/>
      <c r="E3" s="17"/>
      <c r="F3" s="2"/>
      <c r="G3" s="2"/>
      <c r="H3" s="2"/>
      <c r="I3" s="3"/>
      <c r="J3" t="s">
        <v>8</v>
      </c>
      <c r="K3" t="str">
        <f>IF(AND(ISNUMBER(B7),B7&gt;=0,ISNUMBER(B8),B8&gt;0),B7/B8,"")</f>
        <v/>
      </c>
      <c r="L3" t="str">
        <f>IF(AND(ISNUMBER(C7),C7&gt;=0,ISNUMBER(C8),C8&gt;0),C7/C8,"")</f>
        <v/>
      </c>
      <c r="M3" t="str">
        <f t="shared" ref="M3:M11" si="0">IF(AND(ISNUMBER(K3),ISNUMBER(L3),K3&lt;&gt;0),(L3-K3)/K3,"")</f>
        <v/>
      </c>
    </row>
    <row r="4" spans="1:14" ht="31.95" customHeight="1">
      <c r="A4" s="22" t="s">
        <v>9</v>
      </c>
      <c r="B4" s="45" t="s">
        <v>10</v>
      </c>
      <c r="C4" s="46"/>
      <c r="D4" s="46"/>
      <c r="E4" s="47"/>
      <c r="F4" s="7"/>
      <c r="G4" s="2"/>
      <c r="H4" s="8"/>
      <c r="I4" s="9"/>
      <c r="J4" t="s">
        <v>11</v>
      </c>
      <c r="K4" t="str">
        <f>IF(AND(ISNUMBER(B9),B9&gt;0,ISNUMBER(B8),B8&gt;0),B9/B8,"")</f>
        <v/>
      </c>
      <c r="L4" t="str">
        <f>IF(AND(ISNUMBER(C9),C9&gt;0,ISNUMBER(C8),C8&gt;0),C9/C8,"")</f>
        <v/>
      </c>
      <c r="M4" t="str">
        <f t="shared" si="0"/>
        <v/>
      </c>
    </row>
    <row r="5" spans="1:14" ht="10.050000000000001" customHeight="1">
      <c r="A5" s="16"/>
      <c r="B5" s="18"/>
      <c r="C5" s="18"/>
      <c r="D5" s="17"/>
      <c r="E5" s="17"/>
      <c r="F5" s="2"/>
      <c r="G5" s="2"/>
      <c r="H5" s="2"/>
      <c r="I5" s="3"/>
      <c r="J5" t="s">
        <v>12</v>
      </c>
      <c r="K5" t="str">
        <f>IF(AND(ISNUMBER(B7),B7&gt;=0,ISNUMBER(B9),B9&gt;0),B7/B9,"")</f>
        <v/>
      </c>
      <c r="L5" t="str">
        <f>IF(AND(ISNUMBER(C7),C7&gt;=0,ISNUMBER(C9),C9&gt;0),C7/C9,"")</f>
        <v/>
      </c>
      <c r="M5" t="str">
        <f t="shared" si="0"/>
        <v/>
      </c>
    </row>
    <row r="6" spans="1:14" ht="34.049999999999997" customHeight="1">
      <c r="A6" s="26" t="s">
        <v>13</v>
      </c>
      <c r="B6" s="23" t="str">
        <f>IF($B$4="Текущее состояние","Текущее состояние","Период 1")</f>
        <v>Текущее состояние</v>
      </c>
      <c r="C6" s="23" t="str">
        <f>IF($B$4="Сравнение периодов","Период 2","Не используется")</f>
        <v>Не используется</v>
      </c>
      <c r="D6" s="24" t="s">
        <v>14</v>
      </c>
      <c r="E6" s="25" t="s">
        <v>15</v>
      </c>
      <c r="F6" s="2"/>
      <c r="G6" s="2"/>
      <c r="H6" s="2"/>
      <c r="I6" s="3"/>
      <c r="J6" t="s">
        <v>16</v>
      </c>
      <c r="K6" t="str">
        <f>IF(AND(ISNUMBER(B8),B8&gt;0,ISNUMBER(B10),B10&gt;0),B8/B10,"")</f>
        <v/>
      </c>
      <c r="L6" t="str">
        <f>IF(AND(ISNUMBER(C8),C8&gt;0,ISNUMBER(C10),C10&gt;0),C8/C10,"")</f>
        <v/>
      </c>
      <c r="M6" t="str">
        <f t="shared" si="0"/>
        <v/>
      </c>
    </row>
    <row r="7" spans="1:14" ht="31.95" customHeight="1">
      <c r="A7" s="27" t="s">
        <v>17</v>
      </c>
      <c r="B7" s="36"/>
      <c r="C7" s="36"/>
      <c r="D7" s="29" t="str">
        <f>IF(ISBLANK(B7),"Не заполнено",IF(NOT(ISNUMBER(B7)),"Введите число",IF(B7&lt;0,"Не может быть меньше 0","OK")))</f>
        <v>Не заполнено</v>
      </c>
      <c r="E7" s="30" t="str">
        <f>IF($B$4&lt;&gt;"Сравнение периодов","Не используется",IF(ISBLANK(C7),"Не заполнено",IF(NOT(ISNUMBER(C7)),"Введите число",IF(C7&lt;0,"Не может быть меньше 0","OK"))))</f>
        <v>Не используется</v>
      </c>
      <c r="F7" s="2"/>
      <c r="G7" s="2"/>
      <c r="H7" s="2"/>
      <c r="I7" s="3"/>
      <c r="J7" t="s">
        <v>18</v>
      </c>
      <c r="K7" t="str">
        <f>IF(AND(ISNUMBER(B7),B7&gt;=0,ISNUMBER(B11),B11&gt;=0),B7*B11/(100+B11),"")</f>
        <v/>
      </c>
      <c r="L7" t="str">
        <f>IF(AND(ISNUMBER(C7),C7&gt;=0,ISNUMBER(C11),C11&gt;=0),C7*C11/(100+C11),"")</f>
        <v/>
      </c>
      <c r="M7" t="str">
        <f t="shared" si="0"/>
        <v/>
      </c>
    </row>
    <row r="8" spans="1:14" ht="30" customHeight="1">
      <c r="A8" s="27" t="s">
        <v>19</v>
      </c>
      <c r="B8" s="37"/>
      <c r="C8" s="37"/>
      <c r="D8" s="29" t="str">
        <f>IF(ISBLANK(B8),"Не заполнено",IF(NOT(ISNUMBER(B8)),"Введите число",IF(B8&lt;=0,"Должно быть больше 0","OK")))</f>
        <v>Не заполнено</v>
      </c>
      <c r="E8" s="30" t="str">
        <f>IF($B$4&lt;&gt;"Сравнение периодов","Не используется",IF(ISBLANK(C8),"Не заполнено",IF(NOT(ISNUMBER(C8)),"Введите число",IF(C8&lt;=0,"Должно быть больше 0","OK"))))</f>
        <v>Не используется</v>
      </c>
      <c r="F8" s="2"/>
      <c r="G8" s="2"/>
      <c r="H8" s="2"/>
      <c r="I8" s="3"/>
      <c r="J8" t="s">
        <v>20</v>
      </c>
      <c r="K8" t="str">
        <f>IF(AND(ISNUMBER(B10),B10&gt;0),B10,"")</f>
        <v/>
      </c>
      <c r="L8" t="str">
        <f>IF(AND(ISNUMBER(C10),C10&gt;0),C10,"")</f>
        <v/>
      </c>
      <c r="M8" t="str">
        <f t="shared" si="0"/>
        <v/>
      </c>
    </row>
    <row r="9" spans="1:14" ht="34.049999999999997" customHeight="1">
      <c r="A9" s="27" t="s">
        <v>21</v>
      </c>
      <c r="B9" s="37"/>
      <c r="C9" s="37"/>
      <c r="D9" s="29" t="str">
        <f>IF(ISBLANK(B9),"Не заполнено",IF(NOT(ISNUMBER(B9)),"Введите число",IF(B9&lt;=0,"Должно быть больше 0",IF(B9&lt;B8,"Товаров меньше чеков","OK"))))</f>
        <v>Не заполнено</v>
      </c>
      <c r="E9" s="30" t="str">
        <f>IF($B$4&lt;&gt;"Сравнение периодов","Не используется",IF(ISBLANK(C9),"Не заполнено",IF(NOT(ISNUMBER(C9)),"Введите число",IF(C9&lt;=0,"Должно быть больше 0",IF(C9&lt;C8,"Товаров меньше чеков","OK")))))</f>
        <v>Не используется</v>
      </c>
      <c r="F9" s="2"/>
      <c r="G9" s="2"/>
      <c r="H9" s="2"/>
      <c r="I9" s="3"/>
      <c r="J9" t="s">
        <v>19</v>
      </c>
      <c r="K9" t="str">
        <f>IF(AND(ISNUMBER(B8),B8&gt;0),B8,"")</f>
        <v/>
      </c>
      <c r="L9" t="str">
        <f>IF(AND(ISNUMBER(C8),C8&gt;0),C8,"")</f>
        <v/>
      </c>
      <c r="M9" t="str">
        <f t="shared" si="0"/>
        <v/>
      </c>
    </row>
    <row r="10" spans="1:14" ht="30" customHeight="1">
      <c r="A10" s="27" t="s">
        <v>22</v>
      </c>
      <c r="B10" s="37"/>
      <c r="C10" s="37"/>
      <c r="D10" s="29" t="str">
        <f>IF(ISBLANK(B10),"Не заполнено",IF(NOT(ISNUMBER(B10)),"Введите число",IF(B10&lt;=0,"Должно быть больше 0",IF(B10&lt;B8,"Посетителей меньше чеков","OK"))))</f>
        <v>Не заполнено</v>
      </c>
      <c r="E10" s="30" t="str">
        <f>IF($B$4&lt;&gt;"Сравнение периодов","Не используется",IF(ISBLANK(C10),"Не заполнено",IF(NOT(ISNUMBER(C10)),"Введите число",IF(C10&lt;=0,"Должно быть больше 0",IF(C10&lt;C8,"Посетителей меньше чеков","OK")))))</f>
        <v>Не используется</v>
      </c>
      <c r="F10" s="2"/>
      <c r="G10" s="2"/>
      <c r="H10" s="2"/>
      <c r="I10" s="3"/>
      <c r="J10" t="s">
        <v>23</v>
      </c>
      <c r="K10" t="str">
        <f>IF(AND(ISNUMBER(B7),B7&gt;=0),B7,"")</f>
        <v/>
      </c>
      <c r="L10" t="str">
        <f>IF(AND(ISNUMBER(C7),C7&gt;=0),C7,"")</f>
        <v/>
      </c>
      <c r="M10" t="str">
        <f t="shared" si="0"/>
        <v/>
      </c>
    </row>
    <row r="11" spans="1:14" ht="31.95" customHeight="1">
      <c r="A11" s="28" t="s">
        <v>24</v>
      </c>
      <c r="B11" s="38"/>
      <c r="C11" s="38"/>
      <c r="D11" s="31" t="str">
        <f>IF(ISBLANK(B11),"Не заполнено",IF(NOT(ISNUMBER(B11)),"Введите число",IF(B11&lt;0,"Не может быть меньше 0","OK")))</f>
        <v>Не заполнено</v>
      </c>
      <c r="E11" s="32" t="str">
        <f>IF($B$4&lt;&gt;"Сравнение периодов","Не используется",IF(ISBLANK(C11),"Не заполнено",IF(NOT(ISNUMBER(C11)),"Введите число",IF(C11&lt;0,"Не может быть меньше 0","OK"))))</f>
        <v>Не используется</v>
      </c>
      <c r="F11" s="2"/>
      <c r="G11" s="2"/>
      <c r="H11" s="2"/>
      <c r="I11" s="3"/>
      <c r="J11" t="s">
        <v>25</v>
      </c>
      <c r="K11" t="str">
        <f>IF(AND(ISNUMBER(B11),B11&gt;=0),B11,"")</f>
        <v/>
      </c>
      <c r="L11" t="str">
        <f>IF(AND(ISNUMBER(C11),C11&gt;=0),C11,"")</f>
        <v/>
      </c>
      <c r="M11" t="str">
        <f t="shared" si="0"/>
        <v/>
      </c>
    </row>
    <row r="12" spans="1:14" ht="12" customHeight="1">
      <c r="A12" s="16"/>
      <c r="B12" s="21"/>
      <c r="C12" s="21"/>
      <c r="D12" s="19"/>
      <c r="E12" s="20"/>
      <c r="F12" s="10"/>
      <c r="G12" s="2"/>
      <c r="H12" s="2"/>
      <c r="I12" s="3"/>
      <c r="J12" t="s">
        <v>26</v>
      </c>
      <c r="K12" t="b">
        <f>AND(D7="OK",D8="OK",D9="OK",D10="OK",D11="OK")</f>
        <v>0</v>
      </c>
    </row>
    <row r="13" spans="1:14" ht="28.05" customHeight="1">
      <c r="A13" s="48" t="s">
        <v>27</v>
      </c>
      <c r="B13" s="49"/>
      <c r="C13" s="49"/>
      <c r="D13" s="50"/>
      <c r="E13" s="51"/>
      <c r="F13" s="10"/>
      <c r="G13" s="2"/>
      <c r="H13" s="2"/>
      <c r="I13" s="3"/>
      <c r="J13" t="s">
        <v>28</v>
      </c>
      <c r="K13" t="b">
        <f>AND($B$4="Сравнение периодов",K12,E7="OK",E8="OK",E9="OK",E10="OK",E11="OK")</f>
        <v>0</v>
      </c>
    </row>
    <row r="14" spans="1:14" ht="46.05" customHeight="1">
      <c r="A14" s="33" t="s">
        <v>29</v>
      </c>
      <c r="B14" s="52" t="str">
        <f>IF(NOT(K12),"НЕДОСТАТОЧНО ДАННЫХ",IF($B$4="Текущее состояние","ОЦЕНКА ТЕКУЩЕГО СОСТОЯНИЯ","ГЛАВНАЯ СЛАБАЯ ЗОНА"))</f>
        <v>НЕДОСТАТОЧНО ДАННЫХ</v>
      </c>
      <c r="C14" s="53"/>
      <c r="D14" s="54"/>
      <c r="E14" s="55"/>
      <c r="F14" s="10"/>
      <c r="G14" s="2"/>
      <c r="H14" s="2"/>
      <c r="I14" s="3"/>
      <c r="J14" t="s">
        <v>30</v>
      </c>
      <c r="N14" t="str">
        <f>IF(NOT(K13),"Невозможно оценить",IF(M8&lt;-$K$2,"Ухудшилась существенно",IF(M8&gt;$K$2,"Улучшилась существенно","Без существенных изменений")))</f>
        <v>Невозможно оценить</v>
      </c>
    </row>
    <row r="15" spans="1:14" ht="43.95" customHeight="1">
      <c r="A15" s="33" t="s">
        <v>31</v>
      </c>
      <c r="B15" s="56" t="str">
        <f>IF(NOT(K12),"Исправьте входные данные",IF($B$4="Текущее состояние","Данные рассчитаны.",IF(NOT(K13),"Исправьте данные второго периода",N18)))</f>
        <v>Исправьте входные данные</v>
      </c>
      <c r="C15" s="57"/>
      <c r="D15" s="58"/>
      <c r="E15" s="57"/>
      <c r="F15" s="10"/>
      <c r="G15" s="2"/>
      <c r="H15" s="2"/>
      <c r="I15" s="3"/>
      <c r="J15" t="s">
        <v>32</v>
      </c>
      <c r="N15" t="str">
        <f>IF(NOT(K13),"Невозможно оценить",IF(M6&lt;-$K$2,"Ухудшилась существенно",IF(M6&gt;$K$2,"Улучшилась существенно","Без существенных изменений")))</f>
        <v>Невозможно оценить</v>
      </c>
    </row>
    <row r="16" spans="1:14" ht="58.05" customHeight="1">
      <c r="A16" s="33" t="s">
        <v>33</v>
      </c>
      <c r="B16" s="59" t="str">
        <f>IF(NOT(K12),"Все пять показателей обязательны и должны быть корректными.",IF($B$4="Текущее состояние","Для определения главной слабой зоны включите режим «Сравнение периодов» и внесите сопоставимые данные.",IF(NOT(K13),"Все пять показателей второго периода обязательны.",IF(N18="Трафик",IF(M6&lt;-$K$2,"Трафик снизился сильнее конверсии.","Посетителей стало меньше, при этом конверсия существенно не ухудшилась."),IF(N18="Конверсия",IF(M8&lt;-$K$2,"Конверсия снизилась сильнее трафика.","Трафик сохранился или вырос, но конверсия снизилась."),IF(N18="Средний чек",IF(AND(M4&lt;-$K$2,M5&lt;-$K$2),"Средний чек снизился одновременно из-за количества товаров и средней цены.",IF(M4&lt;-$K$2,"Средний чек снизился из-за меньшего количества товаров в покупке.",IF(M5&lt;-$K$2,"Средний чек снизился из-за уменьшения средней цены проданного товара.","Средний чек снизился, но отдельный внутренний фактор не выделился существенно."))),IF(N18="Прибыльность","Выручка сохранилась или выросла, но ориентировочная валовая прибыль снизилась.",IF(N18="Системное снижение","Одновременно ухудшились трафик, конверсия, средний чек и прибыльность.","Ключевые показатели не ухудшились существенно."))))))))</f>
        <v>Все пять показателей обязательны и должны быть корректными.</v>
      </c>
      <c r="C16" s="60"/>
      <c r="D16" s="61"/>
      <c r="E16" s="62"/>
      <c r="F16" s="10"/>
      <c r="G16" s="2"/>
      <c r="H16" s="2"/>
      <c r="I16" s="3"/>
      <c r="J16" t="s">
        <v>34</v>
      </c>
      <c r="N16" t="str">
        <f>IF(NOT(K13),"Невозможно оценить",IF(M3&lt;-$K$2,"Ухудшилась существенно",IF(M3&gt;$K$2,"Улучшилась существенно","Без существенных изменений")))</f>
        <v>Невозможно оценить</v>
      </c>
    </row>
    <row r="17" spans="1:14" ht="52.05" customHeight="1">
      <c r="A17" s="33" t="s">
        <v>35</v>
      </c>
      <c r="B17" s="63" t="str">
        <f>IF(OR(NOT(K12),$B$4="Текущее состояние",NOT(K13)),"",IF(N18="Трафик","Магазин получает недостаточно входящего потока.",IF(N18="Конверсия","Посетители приходят, но реже совершают покупку.",IF(N18="Средний чек","Сумма одной покупки стала меньше.",IF(N18="Прибыльность","Магазин продаёт, но зарабатывает меньше с этих продаж.",IF(N18="Системное снижение","Проблема не ограничивается одним показателем.","Система работает стабильно относительно прошлого периода."))))))</f>
        <v/>
      </c>
      <c r="C17" s="64"/>
      <c r="D17" s="65"/>
      <c r="E17" s="66"/>
      <c r="F17" s="10"/>
      <c r="G17" s="2"/>
      <c r="H17" s="2"/>
      <c r="I17" s="3"/>
      <c r="J17" t="s">
        <v>36</v>
      </c>
      <c r="N17" t="str">
        <f>IF(NOT(K13),"Невозможно оценить",IF(M7&lt;-$K$2,"Ухудшилась существенно",IF(M7&gt;$K$2,"Улучшилась существенно","Без существенных изменений")))</f>
        <v>Невозможно оценить</v>
      </c>
    </row>
    <row r="18" spans="1:14" ht="37.950000000000003" customHeight="1">
      <c r="A18" s="34" t="s">
        <v>37</v>
      </c>
      <c r="B18" s="67" t="str">
        <f>IF(OR(NOT(K13),N19=""),"","Дополнительный риск: "&amp;N19&amp;".")</f>
        <v/>
      </c>
      <c r="C18" s="68"/>
      <c r="D18" s="68"/>
      <c r="E18" s="68"/>
      <c r="F18" s="2"/>
      <c r="G18" s="2"/>
      <c r="H18" s="2"/>
      <c r="I18" s="3"/>
      <c r="J18" t="s">
        <v>38</v>
      </c>
      <c r="N18" t="str">
        <f>IF(NOT(K13),"Недостаточно данных",IF(AND(M8&lt;-$K$2,M6&lt;-$K$2,M3&lt;-$K$2,M7&lt;-$K$2),"Системное снижение",IF(AND(M7&lt;-$K$2,OR(AND(M10&gt;=-$K$2,M11&lt;-$K$2),AND(M11&lt;-$K$2,M7&lt;M8,M7&lt;M6,M7&lt;M3))),"Прибыльность",IF(AND(M8&lt;-$K$2,M6&lt;-$K$2),IF(M8&lt;=M6,"Трафик","Конверсия"),IF(AND(M8&lt;-$K$2,M6&gt;=-$K$2,M9&lt;-$K$2),"Трафик",IF(AND(M8&gt;=-$K$2,M6&lt;-$K$2),"Конверсия",IF(AND(M3&lt;-$K$2,M8&gt;=M3,M6&gt;=M3),"Средний чек",IF(M7&lt;-$K$2,"Прибыльность","Не выявлена"))))))))</f>
        <v>Недостаточно данных</v>
      </c>
    </row>
    <row r="19" spans="1:14" ht="10.050000000000001" customHeight="1">
      <c r="A19" s="16"/>
      <c r="B19" s="17"/>
      <c r="C19" s="17"/>
      <c r="D19" s="17"/>
      <c r="E19" s="17"/>
      <c r="F19" s="2"/>
      <c r="G19" s="2"/>
      <c r="H19" s="2"/>
      <c r="I19" s="3"/>
      <c r="J19" t="s">
        <v>37</v>
      </c>
      <c r="N19" t="str">
        <f>IF(OR(N18="Недостаточно данных",N18="Системное снижение",N18="Не выявлена"),"",IF(N18="Трафик",IF(M6&lt;-$K$2,"Конверсия",IF(M3&lt;-$K$2,"Средний чек",IF(M7&lt;-$K$2,"Прибыльность",""))),IF(N18="Конверсия",IF(M8&lt;-$K$2,"Трафик",IF(M3&lt;-$K$2,"Средний чек",IF(M7&lt;-$K$2,"Прибыльность",""))),IF(N18="Средний чек",IF(M8&lt;-$K$2,"Трафик",IF(M6&lt;-$K$2,"Конверсия",IF(M7&lt;-$K$2,"Прибыльность",""))),IF(N18="Прибыльность",IF(M8&lt;-$K$2,"Трафик",IF(M6&lt;-$K$2,"Конверсия",IF(M3&lt;-$K$2,"Средний чек",""))),"")))))</f>
        <v/>
      </c>
    </row>
    <row r="20" spans="1:14" ht="60" customHeight="1">
      <c r="A20" s="35" t="s">
        <v>39</v>
      </c>
      <c r="B20" s="69" t="s">
        <v>40</v>
      </c>
      <c r="C20" s="69"/>
      <c r="D20" s="69"/>
      <c r="E20" s="69"/>
      <c r="F20" s="11"/>
      <c r="G20" s="2"/>
      <c r="H20" s="2"/>
      <c r="I20" s="3"/>
      <c r="J20" t="s">
        <v>41</v>
      </c>
    </row>
    <row r="21" spans="1:14" ht="42" hidden="1" customHeight="1">
      <c r="A21" s="12"/>
      <c r="B21" s="39"/>
      <c r="C21" s="39"/>
      <c r="D21" s="39"/>
      <c r="E21" s="39"/>
      <c r="F21" s="39"/>
      <c r="G21" s="2"/>
      <c r="H21" s="2"/>
      <c r="I21" s="3"/>
    </row>
    <row r="22" spans="1:14" ht="42" hidden="1" customHeight="1">
      <c r="A22" s="12"/>
      <c r="B22" s="39"/>
      <c r="C22" s="39"/>
      <c r="D22" s="39"/>
      <c r="E22" s="39"/>
      <c r="F22" s="39"/>
      <c r="G22" s="2"/>
      <c r="H22" s="2"/>
      <c r="I22" s="3"/>
    </row>
    <row r="23" spans="1:14" ht="42" hidden="1" customHeight="1">
      <c r="A23" s="12"/>
      <c r="B23" s="39"/>
      <c r="C23" s="39"/>
      <c r="D23" s="39"/>
      <c r="E23" s="39"/>
      <c r="F23" s="39"/>
      <c r="G23" s="2"/>
      <c r="H23" s="2"/>
      <c r="I23" s="3"/>
    </row>
    <row r="24" spans="1:14" ht="42" hidden="1" customHeight="1">
      <c r="A24" s="12"/>
      <c r="B24" s="39"/>
      <c r="C24" s="39"/>
      <c r="D24" s="39"/>
      <c r="E24" s="39"/>
      <c r="F24" s="39"/>
      <c r="G24" s="2"/>
      <c r="H24" s="2"/>
      <c r="I24" s="3"/>
    </row>
    <row r="25" spans="1:14" ht="42" hidden="1" customHeight="1">
      <c r="A25" s="12"/>
      <c r="B25" s="39"/>
      <c r="C25" s="39"/>
      <c r="D25" s="39"/>
      <c r="E25" s="39"/>
      <c r="F25" s="39"/>
      <c r="G25" s="2"/>
      <c r="H25" s="2"/>
      <c r="I25" s="3"/>
    </row>
    <row r="26" spans="1:14" ht="42" hidden="1" customHeight="1">
      <c r="A26" s="12"/>
      <c r="B26" s="39"/>
      <c r="C26" s="39"/>
      <c r="D26" s="39"/>
      <c r="E26" s="39"/>
      <c r="F26" s="39"/>
      <c r="G26" s="2"/>
      <c r="H26" s="2"/>
      <c r="I26" s="3"/>
    </row>
    <row r="27" spans="1:14" ht="42" hidden="1" customHeight="1">
      <c r="A27" s="13"/>
      <c r="B27" s="40"/>
      <c r="C27" s="40"/>
      <c r="D27" s="40"/>
      <c r="E27" s="40"/>
      <c r="F27" s="40"/>
      <c r="G27" s="14"/>
      <c r="H27" s="14"/>
      <c r="I27" s="15"/>
    </row>
  </sheetData>
  <sheetProtection sheet="1" objects="1" scenarios="1" selectLockedCells="1"/>
  <mergeCells count="17">
    <mergeCell ref="B26:F26"/>
    <mergeCell ref="B27:F27"/>
    <mergeCell ref="A1:E1"/>
    <mergeCell ref="A2:E2"/>
    <mergeCell ref="B4:E4"/>
    <mergeCell ref="A13:E13"/>
    <mergeCell ref="B14:E14"/>
    <mergeCell ref="B15:E15"/>
    <mergeCell ref="B16:E16"/>
    <mergeCell ref="B17:E17"/>
    <mergeCell ref="B18:E18"/>
    <mergeCell ref="B20:E20"/>
    <mergeCell ref="B21:F21"/>
    <mergeCell ref="B22:F22"/>
    <mergeCell ref="B23:F23"/>
    <mergeCell ref="B24:F24"/>
    <mergeCell ref="B25:F25"/>
  </mergeCells>
  <conditionalFormatting sqref="I5:I11">
    <cfRule type="expression" dxfId="13" priority="1">
      <formula>I5="OK"</formula>
    </cfRule>
    <cfRule type="expression" dxfId="12" priority="2">
      <formula>I5&lt;&gt;"OK"</formula>
    </cfRule>
  </conditionalFormatting>
  <conditionalFormatting sqref="D6:D17">
    <cfRule type="cellIs" dxfId="11" priority="3" operator="greaterThan">
      <formula>0</formula>
    </cfRule>
    <cfRule type="cellIs" dxfId="10" priority="4" operator="lessThan">
      <formula>0</formula>
    </cfRule>
  </conditionalFormatting>
  <conditionalFormatting sqref="D7:E11">
    <cfRule type="containsText" dxfId="9" priority="5" operator="containsText" text="OK"/>
    <cfRule type="containsText" dxfId="8" priority="6" operator="containsText" text="Не заполнено"/>
    <cfRule type="containsText" dxfId="7" priority="7" operator="containsText" text="Не используется"/>
    <cfRule type="containsText" dxfId="6" priority="8" operator="containsText" text="Введите число"/>
    <cfRule type="containsText" dxfId="5" priority="9" operator="containsText" text="Не может быть"/>
    <cfRule type="containsText" dxfId="4" priority="10" operator="containsText" text="Должно быть"/>
    <cfRule type="containsText" dxfId="3" priority="11" operator="containsText" text="меньше чеков"/>
  </conditionalFormatting>
  <conditionalFormatting sqref="C6:E11">
    <cfRule type="expression" dxfId="2" priority="12">
      <formula>$B$4="Текущее состояние"</formula>
    </cfRule>
  </conditionalFormatting>
  <conditionalFormatting sqref="B14:E14">
    <cfRule type="expression" dxfId="1" priority="13">
      <formula>$B$14="ОЦЕНКА ТЕКУЩЕГО СОСТОЯНИЯ"</formula>
    </cfRule>
    <cfRule type="expression" dxfId="0" priority="14">
      <formula>$B$14="НЕДОСТАТОЧНО ДАННЫХ"</formula>
    </cfRule>
  </conditionalFormatting>
  <dataValidations count="3">
    <dataValidation type="list" sqref="B4" xr:uid="{00000000-0002-0000-0000-000000000000}">
      <formula1>"Текущее состояние,Сравнение периодов"</formula1>
    </dataValidation>
    <dataValidation type="decimal" operator="greaterThanOrEqual" sqref="B7:C7 B9:C11" xr:uid="{00000000-0002-0000-0000-000001000000}">
      <formula1>0</formula1>
    </dataValidation>
    <dataValidation operator="greaterThan" sqref="B8:C8" xr:uid="{00000000-0002-0000-0000-000005000000}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Диагностика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2026-08-02T15:13:06Z</dcterms:created>
  <dcterms:modified xsi:type="dcterms:W3CDTF">2026-08-02T15:13:06Z</dcterms:modified>
</cp:coreProperties>
</file>